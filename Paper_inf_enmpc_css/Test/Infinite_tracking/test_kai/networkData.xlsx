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data\data_files\Kai_small\"/>
    </mc:Choice>
  </mc:AlternateContent>
  <xr:revisionPtr revIDLastSave="0" documentId="13_ncr:1_{3D8678FD-5CB7-4CC6-BC96-E34327B090E9}" xr6:coauthVersionLast="47" xr6:coauthVersionMax="47" xr10:uidLastSave="{00000000-0000-0000-0000-000000000000}"/>
  <bookViews>
    <workbookView xWindow="-108" yWindow="-108" windowWidth="23256" windowHeight="12456" xr2:uid="{F914F672-9CCD-4251-9DBD-9B23BA5898DB}"/>
  </bookViews>
  <sheets>
    <sheet name="Nodes" sheetId="1" r:id="rId1"/>
    <sheet name="Pipes" sheetId="2" r:id="rId2"/>
    <sheet name="Stations" sheetId="4" r:id="rId3"/>
    <sheet name="Arc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C6" i="2"/>
  <c r="C2" i="2"/>
  <c r="D2" i="2"/>
</calcChain>
</file>

<file path=xl/sharedStrings.xml><?xml version="1.0" encoding="utf-8"?>
<sst xmlns="http://schemas.openxmlformats.org/spreadsheetml/2006/main" count="64" uniqueCount="39">
  <si>
    <t>source_1</t>
  </si>
  <si>
    <t>innode_1</t>
  </si>
  <si>
    <t>sink_1</t>
  </si>
  <si>
    <t>sink_2</t>
  </si>
  <si>
    <t>sink_3</t>
  </si>
  <si>
    <t>sink_4</t>
  </si>
  <si>
    <t>sink_5</t>
  </si>
  <si>
    <t>source</t>
  </si>
  <si>
    <t>pMin</t>
  </si>
  <si>
    <t>pMax</t>
  </si>
  <si>
    <t>height</t>
  </si>
  <si>
    <t>lat</t>
  </si>
  <si>
    <t>long</t>
  </si>
  <si>
    <t>pipe_1</t>
  </si>
  <si>
    <t>nodeIN</t>
  </si>
  <si>
    <t>nodeOUT</t>
  </si>
  <si>
    <t>pipe_2</t>
  </si>
  <si>
    <t>pipe_3</t>
  </si>
  <si>
    <t>compressorStation_1</t>
  </si>
  <si>
    <t>compressorStation_2</t>
  </si>
  <si>
    <t>compressorStation_3</t>
  </si>
  <si>
    <t>pInMax</t>
  </si>
  <si>
    <t>pInMin</t>
  </si>
  <si>
    <t>pOutMax</t>
  </si>
  <si>
    <t>max_power</t>
  </si>
  <si>
    <t>length</t>
  </si>
  <si>
    <t>A</t>
  </si>
  <si>
    <t>omega</t>
  </si>
  <si>
    <t>diameter</t>
  </si>
  <si>
    <t>roughness</t>
  </si>
  <si>
    <t>Nvol</t>
  </si>
  <si>
    <t>MMgas</t>
  </si>
  <si>
    <t>Tgas</t>
  </si>
  <si>
    <t>xCH4</t>
  </si>
  <si>
    <t>Z</t>
  </si>
  <si>
    <t>pipe_4</t>
  </si>
  <si>
    <t>pipe_5</t>
  </si>
  <si>
    <t>innode_2</t>
  </si>
  <si>
    <t>innode_3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</si>
</sst>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7D31-8A71-4BE5-BF51-4B02EBD9F6F6}">
  <dimension ref="A1:G10"/>
  <sheetViews>
    <sheetView tabSelected="1" workbookViewId="0">
      <selection activeCell="Q20" sqref="Q20"/>
    </sheetView>
  </sheetViews>
  <sheetFormatPr defaultRowHeight="14.4" x14ac:dyDescent="0.3"/>
  <sheetData>
    <row r="1" spans="1:7" x14ac:dyDescent="0.3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">
      <c r="A2" t="s">
        <v>0</v>
      </c>
      <c r="B2" t="s">
        <v>0</v>
      </c>
      <c r="C2">
        <v>2101325</v>
      </c>
      <c r="D2">
        <v>8101325</v>
      </c>
      <c r="E2">
        <v>0</v>
      </c>
      <c r="F2">
        <v>48.963607098700002</v>
      </c>
      <c r="G2">
        <v>6.8375660756499999</v>
      </c>
    </row>
    <row r="3" spans="1:7" x14ac:dyDescent="0.3">
      <c r="A3" t="s">
        <v>1</v>
      </c>
      <c r="C3">
        <v>3101325</v>
      </c>
      <c r="D3">
        <v>8101325</v>
      </c>
      <c r="E3">
        <v>0</v>
      </c>
      <c r="F3">
        <v>48.885442716</v>
      </c>
      <c r="G3">
        <v>6.9707746782799997</v>
      </c>
    </row>
    <row r="4" spans="1:7" x14ac:dyDescent="0.3">
      <c r="A4" t="s">
        <v>37</v>
      </c>
      <c r="C4">
        <v>3101325</v>
      </c>
      <c r="D4">
        <v>8101325</v>
      </c>
      <c r="E4">
        <v>0</v>
      </c>
      <c r="F4">
        <v>48.4488696592</v>
      </c>
      <c r="G4">
        <v>7.1753586073599998</v>
      </c>
    </row>
    <row r="5" spans="1:7" x14ac:dyDescent="0.3">
      <c r="A5" t="s">
        <v>38</v>
      </c>
      <c r="C5">
        <v>3101325</v>
      </c>
      <c r="D5">
        <v>8101325</v>
      </c>
      <c r="E5">
        <v>0</v>
      </c>
      <c r="F5">
        <v>48.459701438000003</v>
      </c>
      <c r="G5">
        <v>6.73248116159</v>
      </c>
    </row>
    <row r="6" spans="1:7" x14ac:dyDescent="0.3">
      <c r="A6" t="s">
        <v>2</v>
      </c>
      <c r="C6">
        <v>4101325</v>
      </c>
      <c r="D6">
        <v>8101325</v>
      </c>
      <c r="E6">
        <v>0</v>
      </c>
      <c r="F6">
        <v>47.684915786300003</v>
      </c>
      <c r="G6">
        <v>7.3343218248599999</v>
      </c>
    </row>
    <row r="7" spans="1:7" x14ac:dyDescent="0.3">
      <c r="A7" t="s">
        <v>3</v>
      </c>
      <c r="C7">
        <v>4101325</v>
      </c>
      <c r="D7">
        <v>8101325</v>
      </c>
      <c r="E7">
        <v>0</v>
      </c>
      <c r="F7">
        <v>47.623252605300003</v>
      </c>
      <c r="G7">
        <v>7.53102691462</v>
      </c>
    </row>
    <row r="8" spans="1:7" x14ac:dyDescent="0.3">
      <c r="A8" t="s">
        <v>4</v>
      </c>
      <c r="C8">
        <v>4101325</v>
      </c>
      <c r="D8">
        <v>8101325</v>
      </c>
      <c r="E8">
        <v>0</v>
      </c>
      <c r="F8">
        <v>47.488271935999997</v>
      </c>
      <c r="G8">
        <v>6.6466959069599998</v>
      </c>
    </row>
    <row r="9" spans="1:7" x14ac:dyDescent="0.3">
      <c r="A9" t="s">
        <v>5</v>
      </c>
      <c r="C9">
        <v>4101325</v>
      </c>
      <c r="D9">
        <v>8101325</v>
      </c>
      <c r="E9">
        <v>0</v>
      </c>
      <c r="F9">
        <v>47.388271936000002</v>
      </c>
      <c r="G9">
        <v>6.73248116159</v>
      </c>
    </row>
    <row r="10" spans="1:7" x14ac:dyDescent="0.3">
      <c r="A10" t="s">
        <v>6</v>
      </c>
      <c r="C10">
        <v>5101325</v>
      </c>
      <c r="D10">
        <v>8101325</v>
      </c>
      <c r="E10">
        <v>0</v>
      </c>
      <c r="F10">
        <v>47.288271936000001</v>
      </c>
      <c r="G10">
        <v>6.73248116159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F40A-4953-4ABC-9FC8-FDC5AA424282}">
  <dimension ref="A1:K6"/>
  <sheetViews>
    <sheetView workbookViewId="0">
      <selection activeCell="G11" sqref="G11"/>
    </sheetView>
  </sheetViews>
  <sheetFormatPr defaultRowHeight="14.4" x14ac:dyDescent="0.3"/>
  <sheetData>
    <row r="1" spans="1:11" x14ac:dyDescent="0.3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3">
      <c r="A2" t="s">
        <v>13</v>
      </c>
      <c r="B2">
        <v>65057.174270000003</v>
      </c>
      <c r="C2">
        <f xml:space="preserve"> 3.141*E2^2/4</f>
        <v>3.141</v>
      </c>
      <c r="D2">
        <f>3.141592654*2</f>
        <v>6.2831853080000002</v>
      </c>
      <c r="E2">
        <v>2</v>
      </c>
      <c r="F2">
        <v>5.0000000000000002E-5</v>
      </c>
      <c r="G2">
        <v>4</v>
      </c>
      <c r="H2">
        <v>18.567399999999999</v>
      </c>
      <c r="I2">
        <v>273.14999999999998</v>
      </c>
      <c r="J2">
        <v>0.9</v>
      </c>
      <c r="K2">
        <v>0.86</v>
      </c>
    </row>
    <row r="3" spans="1:11" x14ac:dyDescent="0.3">
      <c r="A3" t="s">
        <v>16</v>
      </c>
      <c r="B3">
        <v>32449.372050000002</v>
      </c>
      <c r="C3">
        <v>0.78539816299999998</v>
      </c>
      <c r="D3">
        <v>3.1415926540000001</v>
      </c>
      <c r="E3">
        <v>1</v>
      </c>
      <c r="F3">
        <v>5.0000000000000002E-5</v>
      </c>
      <c r="G3">
        <v>4</v>
      </c>
      <c r="H3">
        <v>18.567399999999999</v>
      </c>
      <c r="I3">
        <v>273.14999999999998</v>
      </c>
      <c r="J3">
        <v>0.9</v>
      </c>
      <c r="K3">
        <v>0.86</v>
      </c>
    </row>
    <row r="4" spans="1:11" x14ac:dyDescent="0.3">
      <c r="A4" t="s">
        <v>17</v>
      </c>
      <c r="B4">
        <v>13071.085230000001</v>
      </c>
      <c r="C4">
        <v>0.78539816299999998</v>
      </c>
      <c r="D4">
        <v>3.1415926540000001</v>
      </c>
      <c r="E4">
        <v>1</v>
      </c>
      <c r="F4">
        <v>5.0000000000000002E-5</v>
      </c>
      <c r="G4">
        <v>4</v>
      </c>
      <c r="H4">
        <v>18.567399999999999</v>
      </c>
      <c r="I4">
        <v>273.14999999999998</v>
      </c>
      <c r="J4">
        <v>0.9</v>
      </c>
      <c r="K4">
        <v>0.86</v>
      </c>
    </row>
    <row r="5" spans="1:11" x14ac:dyDescent="0.3">
      <c r="A5" t="s">
        <v>35</v>
      </c>
      <c r="B5">
        <v>65057.174270000003</v>
      </c>
      <c r="C5">
        <v>0.78539816299999998</v>
      </c>
      <c r="D5">
        <v>3.1415926540000001</v>
      </c>
      <c r="E5">
        <v>1</v>
      </c>
      <c r="F5">
        <v>5.0000000000000002E-5</v>
      </c>
      <c r="G5">
        <v>4</v>
      </c>
      <c r="H5">
        <v>18.567399999999999</v>
      </c>
      <c r="I5">
        <v>273.14999999999998</v>
      </c>
      <c r="J5">
        <v>0.9</v>
      </c>
      <c r="K5">
        <v>0.86</v>
      </c>
    </row>
    <row r="6" spans="1:11" x14ac:dyDescent="0.3">
      <c r="A6" t="s">
        <v>36</v>
      </c>
      <c r="B6">
        <v>76893.550759999998</v>
      </c>
      <c r="C6">
        <f xml:space="preserve"> 3.141*E6^2/4</f>
        <v>3.141</v>
      </c>
      <c r="D6">
        <f>3.141592654*2</f>
        <v>6.2831853080000002</v>
      </c>
      <c r="E6">
        <v>2</v>
      </c>
      <c r="F6">
        <v>5.0000000000000002E-5</v>
      </c>
      <c r="G6">
        <v>4</v>
      </c>
      <c r="H6">
        <v>18.567399999999999</v>
      </c>
      <c r="I6">
        <v>273.14999999999998</v>
      </c>
      <c r="J6">
        <v>0.9</v>
      </c>
      <c r="K6">
        <v>0.86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236F-F29A-41E4-9555-DA5DBADD8711}">
  <dimension ref="A1:E4"/>
  <sheetViews>
    <sheetView workbookViewId="0">
      <selection activeCell="E15" sqref="E15"/>
    </sheetView>
  </sheetViews>
  <sheetFormatPr defaultRowHeight="14.4" x14ac:dyDescent="0.3"/>
  <sheetData>
    <row r="1" spans="1:5" x14ac:dyDescent="0.3"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 t="s">
        <v>18</v>
      </c>
      <c r="C2">
        <v>3101325</v>
      </c>
      <c r="D2">
        <v>7101325</v>
      </c>
      <c r="E2">
        <v>2424387224.3367658</v>
      </c>
    </row>
    <row r="3" spans="1:5" x14ac:dyDescent="0.3">
      <c r="A3" t="s">
        <v>19</v>
      </c>
      <c r="C3">
        <v>3101325</v>
      </c>
      <c r="D3">
        <v>7101325</v>
      </c>
      <c r="E3">
        <v>2424387224.3367658</v>
      </c>
    </row>
    <row r="4" spans="1:5" x14ac:dyDescent="0.3">
      <c r="A4" t="s">
        <v>20</v>
      </c>
      <c r="C4">
        <v>3101325</v>
      </c>
      <c r="D4">
        <v>7101325</v>
      </c>
      <c r="E4">
        <v>2424387224.3367658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B6E3-D064-4D3C-AB39-9FC88564000F}">
  <dimension ref="A1:C9"/>
  <sheetViews>
    <sheetView workbookViewId="0">
      <selection activeCell="C9" sqref="C9"/>
    </sheetView>
  </sheetViews>
  <sheetFormatPr defaultRowHeight="14.4" x14ac:dyDescent="0.3"/>
  <sheetData>
    <row r="1" spans="1:3" x14ac:dyDescent="0.3">
      <c r="A1" s="1"/>
      <c r="B1" s="1" t="s">
        <v>14</v>
      </c>
      <c r="C1" s="1" t="s">
        <v>15</v>
      </c>
    </row>
    <row r="2" spans="1:3" x14ac:dyDescent="0.3">
      <c r="A2" t="s">
        <v>18</v>
      </c>
      <c r="B2" t="s">
        <v>0</v>
      </c>
      <c r="C2" t="s">
        <v>1</v>
      </c>
    </row>
    <row r="3" spans="1:3" x14ac:dyDescent="0.3">
      <c r="A3" t="s">
        <v>19</v>
      </c>
      <c r="B3" t="s">
        <v>1</v>
      </c>
      <c r="C3" t="s">
        <v>37</v>
      </c>
    </row>
    <row r="4" spans="1:3" x14ac:dyDescent="0.3">
      <c r="A4" t="s">
        <v>20</v>
      </c>
      <c r="B4" t="s">
        <v>1</v>
      </c>
      <c r="C4" t="s">
        <v>38</v>
      </c>
    </row>
    <row r="5" spans="1:3" x14ac:dyDescent="0.3">
      <c r="A5" t="s">
        <v>13</v>
      </c>
      <c r="B5" t="s">
        <v>37</v>
      </c>
      <c r="C5" t="s">
        <v>2</v>
      </c>
    </row>
    <row r="6" spans="1:3" x14ac:dyDescent="0.3">
      <c r="A6" t="s">
        <v>16</v>
      </c>
      <c r="B6" t="s">
        <v>2</v>
      </c>
      <c r="C6" t="s">
        <v>3</v>
      </c>
    </row>
    <row r="7" spans="1:3" x14ac:dyDescent="0.3">
      <c r="A7" t="s">
        <v>17</v>
      </c>
      <c r="B7" t="s">
        <v>2</v>
      </c>
      <c r="C7" t="s">
        <v>4</v>
      </c>
    </row>
    <row r="8" spans="1:3" x14ac:dyDescent="0.3">
      <c r="A8" t="s">
        <v>35</v>
      </c>
      <c r="B8" t="s">
        <v>38</v>
      </c>
      <c r="C8" t="s">
        <v>5</v>
      </c>
    </row>
    <row r="9" spans="1:3" x14ac:dyDescent="0.3">
      <c r="A9" t="s">
        <v>36</v>
      </c>
      <c r="B9" t="s">
        <v>5</v>
      </c>
      <c r="C9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Nodes</vt:lpstr>
      <vt:lpstr>Pipes</vt:lpstr>
      <vt:lpstr>Stations</vt:lpstr>
      <vt:lpstr>Arcs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Sakshi Naik Naik</cp:lastModifiedBy>
  <dcterms:created xsi:type="dcterms:W3CDTF">2025-01-26T15:15:33Z</dcterms:created>
  <dcterms:modified xsi:type="dcterms:W3CDTF">2025-10-19T16:09:31Z</dcterms:modified>
</cp:coreProperties>
</file>